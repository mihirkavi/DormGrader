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mkavishw_usc_edu/Documents/"/>
    </mc:Choice>
  </mc:AlternateContent>
  <xr:revisionPtr revIDLastSave="600" documentId="8_{B31E9449-289E-1A41-8939-45FD99A6D4FE}" xr6:coauthVersionLast="47" xr6:coauthVersionMax="47" xr10:uidLastSave="{3E8B3066-3DF3-4C4D-984C-0B0FFFDBF780}"/>
  <bookViews>
    <workbookView xWindow="0" yWindow="500" windowWidth="25600" windowHeight="15500" activeTab="1" xr2:uid="{F1CF9F06-7FF9-DB4B-84E6-85C9DE2A90AB}"/>
  </bookViews>
  <sheets>
    <sheet name="Financial Analysis " sheetId="1" r:id="rId1"/>
    <sheet name="Revenue Model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3" i="2"/>
  <c r="C3" i="2"/>
  <c r="E3" i="2"/>
  <c r="E16" i="1"/>
  <c r="H16" i="1"/>
  <c r="G16" i="1"/>
  <c r="D16" i="1"/>
  <c r="F16" i="1"/>
  <c r="E4" i="2"/>
  <c r="E5" i="2"/>
  <c r="E6" i="2"/>
  <c r="E7" i="2"/>
  <c r="C4" i="2"/>
  <c r="C5" i="2"/>
  <c r="C6" i="2"/>
  <c r="C7" i="2"/>
  <c r="E41" i="2"/>
  <c r="E38" i="2"/>
  <c r="E35" i="2"/>
  <c r="E34" i="2"/>
  <c r="C14" i="1"/>
  <c r="E36" i="2"/>
  <c r="D9" i="1"/>
  <c r="D8" i="1"/>
  <c r="E9" i="1"/>
  <c r="D5" i="1"/>
  <c r="C20" i="1"/>
  <c r="D20" i="1"/>
  <c r="G18" i="2"/>
  <c r="B3" i="2" s="1"/>
  <c r="B4" i="2" s="1"/>
  <c r="B5" i="2" s="1"/>
  <c r="B6" i="2" s="1"/>
  <c r="B7" i="2" s="1"/>
  <c r="B40" i="1"/>
  <c r="B38" i="1"/>
  <c r="B34" i="1"/>
  <c r="G13" i="2"/>
  <c r="G15" i="2" s="1"/>
  <c r="C21" i="1"/>
  <c r="B30" i="1"/>
  <c r="B29" i="1"/>
  <c r="E10" i="1"/>
  <c r="F10" i="1" l="1"/>
  <c r="E5" i="1"/>
  <c r="E6" i="1"/>
  <c r="F6" i="1"/>
  <c r="G6" i="1"/>
  <c r="H6" i="1"/>
  <c r="D6" i="1"/>
  <c r="E7" i="1"/>
  <c r="F7" i="1"/>
  <c r="G7" i="1"/>
  <c r="H7" i="1"/>
  <c r="D7" i="1"/>
  <c r="D14" i="1"/>
  <c r="F9" i="1"/>
  <c r="F3" i="2"/>
  <c r="E8" i="1"/>
  <c r="E20" i="1"/>
  <c r="G9" i="1" l="1"/>
  <c r="E14" i="1"/>
  <c r="G10" i="1"/>
  <c r="F5" i="1"/>
  <c r="F4" i="2"/>
  <c r="F5" i="2"/>
  <c r="F6" i="2"/>
  <c r="F7" i="2"/>
  <c r="D21" i="1"/>
  <c r="E21" i="1"/>
  <c r="F8" i="1"/>
  <c r="F20" i="1"/>
  <c r="F14" i="1" l="1"/>
  <c r="H10" i="1"/>
  <c r="H5" i="1" s="1"/>
  <c r="G5" i="1"/>
  <c r="H9" i="1"/>
  <c r="F21" i="1"/>
  <c r="G8" i="1"/>
  <c r="G20" i="1"/>
  <c r="H20" i="1"/>
  <c r="G14" i="1" l="1"/>
  <c r="G21" i="1"/>
  <c r="H8" i="1"/>
  <c r="H14" i="1" s="1"/>
  <c r="H21" i="1" l="1"/>
  <c r="B24" i="1" l="1"/>
</calcChain>
</file>

<file path=xl/sharedStrings.xml><?xml version="1.0" encoding="utf-8"?>
<sst xmlns="http://schemas.openxmlformats.org/spreadsheetml/2006/main" count="94" uniqueCount="91">
  <si>
    <t>Cashflow</t>
  </si>
  <si>
    <t>Description</t>
  </si>
  <si>
    <t>Year 0</t>
  </si>
  <si>
    <t>Year 1</t>
  </si>
  <si>
    <t>Year 2</t>
  </si>
  <si>
    <t>Year 3</t>
  </si>
  <si>
    <t>Year 4</t>
  </si>
  <si>
    <t>Year 5</t>
  </si>
  <si>
    <t>Initial Investment</t>
  </si>
  <si>
    <t>Initial Seed funding received from an investor or bootstrapped.</t>
  </si>
  <si>
    <t>Expenses</t>
  </si>
  <si>
    <t>Salaries</t>
  </si>
  <si>
    <t>Developer, board members salaries.</t>
  </si>
  <si>
    <t>Platform APIs</t>
  </si>
  <si>
    <t>Variable costs for API tokens - like firebase</t>
  </si>
  <si>
    <t>Server</t>
  </si>
  <si>
    <t>Variable costs for AWS</t>
  </si>
  <si>
    <t>Marketing - CAC</t>
  </si>
  <si>
    <t>Variable costs for internet marketing on Google Ads/ similar Customer acquisition costs.</t>
  </si>
  <si>
    <t>Number of users</t>
  </si>
  <si>
    <t>Number of users of the platform. This number is expected to grow at a rate mentioned below. The number is derived from comparing similar copmanies customer growth.</t>
  </si>
  <si>
    <t>Number of employees</t>
  </si>
  <si>
    <t>Number of employees hired per year. Iniatially building ourselves and then hiring 1 employee per year to manage- software bugs and issues.</t>
  </si>
  <si>
    <t>EBITA</t>
  </si>
  <si>
    <t>TAX</t>
  </si>
  <si>
    <t>Total Costs</t>
  </si>
  <si>
    <t>Revenue (Refer to Revenue Model)</t>
  </si>
  <si>
    <t>Advertising and analytics revenue</t>
  </si>
  <si>
    <t xml:space="preserve">Premium Subscription </t>
  </si>
  <si>
    <t>$</t>
  </si>
  <si>
    <t xml:space="preserve">Real estate alliances </t>
  </si>
  <si>
    <t>Total Revenues</t>
  </si>
  <si>
    <t>Net Cashflow</t>
  </si>
  <si>
    <t>Revenue - Expenses</t>
  </si>
  <si>
    <t>Discounting Rate</t>
  </si>
  <si>
    <t>Given in the assignment instructions</t>
  </si>
  <si>
    <t>NPV</t>
  </si>
  <si>
    <t>Assumptions</t>
  </si>
  <si>
    <t>Value</t>
  </si>
  <si>
    <t>Reference</t>
  </si>
  <si>
    <t>Firebase</t>
  </si>
  <si>
    <t>https://firebase.google.com/pricing</t>
  </si>
  <si>
    <t>AWS</t>
  </si>
  <si>
    <t>https://calculator.aws/#/addService</t>
  </si>
  <si>
    <t>Google Ads CPC</t>
  </si>
  <si>
    <t>https://bard.google.com/?utm_source=sem&amp;utm_medium=paid-media&amp;utm_campaign=q3enUS_sem7</t>
  </si>
  <si>
    <t>Typical conersion rate for SaaS early stage</t>
  </si>
  <si>
    <t>https://www.subscriptionflow.com/2022/12/saas-startups-what-is-a-good-demo-conversion-rate/#:~:text=SaaS%20companies%20often%20focus%20on,at%20around%2015%25%2D20%25.</t>
  </si>
  <si>
    <t>Market Size for student housing (TAM)</t>
  </si>
  <si>
    <t>https://www.google.com/url?sa=t&amp;rct=j&amp;q=&amp;esrc=s&amp;source=web&amp;cd=&amp;cad=rja&amp;uact=8&amp;ved=2ahUKEwjpqJSCo7-BAxWWLUQIHRPgCG0QFnoECBYQAw&amp;url=https%3A%2F%2Fwww.linkedin.com%2Fpulse%2Fstudent-housing-market-size-2030-consumer-goods-insights%23%3A~%3Atext%3DThe%2520global%2520Student%2520Housing%2520market%2520size%2520was%2520valued%2520at%2520USD%2CUSD%252014700.0%2520million%2520by%25202027.&amp;usg=AOvVaw1qleiRTvpBOUFWyAVKIE2R&amp;opi=89978449</t>
  </si>
  <si>
    <t>Market size USC students living in housing around DPS (SOM)</t>
  </si>
  <si>
    <t>https://www.google.com/url?sa=t&amp;rct=j&amp;q=&amp;esrc=s&amp;source=web&amp;cd=&amp;cad=rja&amp;uact=8&amp;ved=2ahUKEwje86neo7-BAxVGH0QIHXRiCm8QFnoECA0QAw&amp;url=https%3A%2F%2Fwww.usnews.com%2Fbest-colleges%2Funiversity-of-southern-california-1328%2Fstudent-life%23%3A~%3Atext%3DUniversity%2520of%2520Southern%2520California%2520has%2Cof%2520students%2520live%2520off%2520campus.&amp;usg=AOvVaw3so-BIlLx_kML_MwHBDFRI&amp;opi=89978449</t>
  </si>
  <si>
    <t>Percentage of usc students living near campus</t>
  </si>
  <si>
    <t>Total number of USC student enrollment</t>
  </si>
  <si>
    <t>Average per year cost of living per student</t>
  </si>
  <si>
    <t>https://housing.usc.edu/index.php/sample-cost/</t>
  </si>
  <si>
    <t>Students living near campus</t>
  </si>
  <si>
    <t>Typical customer growth rate for rating platform SaaS</t>
  </si>
  <si>
    <t>Typical deal charging USC (comparing with Lyft and similar programs)</t>
  </si>
  <si>
    <t>USC Lyft program 1000 per student</t>
  </si>
  <si>
    <t>Universities addition</t>
  </si>
  <si>
    <t>Employee salaries</t>
  </si>
  <si>
    <t>Per year per person analytics revenu</t>
  </si>
  <si>
    <t>Revenue Model</t>
  </si>
  <si>
    <t xml:space="preserve">Time (yr) </t>
  </si>
  <si>
    <t>Users</t>
  </si>
  <si>
    <t xml:space="preserve">Advertising Revenue </t>
  </si>
  <si>
    <t>Revenue From Subcriptions</t>
  </si>
  <si>
    <t xml:space="preserve">Revenue from real estate alliance </t>
  </si>
  <si>
    <t>Revenue</t>
  </si>
  <si>
    <t>Market Sizing</t>
  </si>
  <si>
    <t>Total College Enrollment in the U.S. (2022)</t>
  </si>
  <si>
    <t>https://educationdata.org/college-enrollment-statistics</t>
  </si>
  <si>
    <t>Occupancy Level of both on and off campus housing in the U.S. (2018)</t>
  </si>
  <si>
    <t>https://www.casita.com/blog/student-housing-statistics-a-case-study</t>
  </si>
  <si>
    <t xml:space="preserve">Market Size </t>
  </si>
  <si>
    <t xml:space="preserve">Percentage of students that have an active account on RateMyProffessor </t>
  </si>
  <si>
    <t>https://www.insidehighered.com/advice/2019/10/10/tongue-cheek-announcement-new-portal-where-faculty-members-can-rate-their-students#:~:text=Roughly%20one%2Dthird%20of%20the,and%20minds%20of%20our%20students.</t>
  </si>
  <si>
    <t>Market Share</t>
  </si>
  <si>
    <t xml:space="preserve">College Enrollment in California (2022) </t>
  </si>
  <si>
    <t>Expected User in year 1</t>
  </si>
  <si>
    <t>Expected user growth per year</t>
  </si>
  <si>
    <t>Average Revenue Per User (APRU)</t>
  </si>
  <si>
    <t>APRU from expected advertising revenue in year 1</t>
  </si>
  <si>
    <t>APRU from expected revenue from subsriptions in year 1:</t>
  </si>
  <si>
    <t xml:space="preserve">      Average subcription fee per user</t>
  </si>
  <si>
    <t xml:space="preserve">      Percentage of registered users opting for premium services</t>
  </si>
  <si>
    <t>APRU from expected revenue from real estate alliances in year 1:</t>
  </si>
  <si>
    <t xml:space="preserve">      Annual partnership fee per alliance </t>
  </si>
  <si>
    <t xml:space="preserve">      Expected alliances in year 1</t>
  </si>
  <si>
    <t>Average Revenue Per User ($/user)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</si>
</sst>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6" formatCode="&quot;$&quot;#,##0.00"/>
    <numFmt numFmtId="172" formatCode="&quot;$&quot;#,##0.0_);[Red]\(&quot;$&quot;#,##0.0\)"/>
    <numFmt numFmtId="173" formatCode="&quot;$&quot;#,##0.000_);[Red]\(&quot;$&quot;#,##0.000\)"/>
    <numFmt numFmtId="175" formatCode="_([$$-409]* #,##0.00_);_([$$-409]* \(#,##0.00\);_([$$-409]* &quot;-&quot;??_);_(@_)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9" fontId="0" fillId="0" borderId="0" xfId="0" applyNumberFormat="1"/>
    <xf numFmtId="8" fontId="0" fillId="0" borderId="0" xfId="0" applyNumberFormat="1"/>
    <xf numFmtId="0" fontId="4" fillId="0" borderId="0" xfId="2"/>
    <xf numFmtId="44" fontId="0" fillId="0" borderId="0" xfId="1" applyFont="1"/>
    <xf numFmtId="44" fontId="1" fillId="0" borderId="0" xfId="1" applyFont="1"/>
    <xf numFmtId="2" fontId="0" fillId="0" borderId="0" xfId="1" applyNumberFormat="1" applyFont="1"/>
    <xf numFmtId="0" fontId="4" fillId="0" borderId="0" xfId="1" applyNumberFormat="1" applyFont="1"/>
    <xf numFmtId="0" fontId="0" fillId="0" borderId="0" xfId="1" applyNumberFormat="1" applyFont="1"/>
    <xf numFmtId="166" fontId="0" fillId="0" borderId="0" xfId="0" applyNumberFormat="1"/>
    <xf numFmtId="173" fontId="0" fillId="0" borderId="0" xfId="0" applyNumberFormat="1"/>
    <xf numFmtId="0" fontId="0" fillId="0" borderId="1" xfId="0" applyBorder="1"/>
    <xf numFmtId="8" fontId="0" fillId="0" borderId="1" xfId="0" applyNumberFormat="1" applyBorder="1"/>
    <xf numFmtId="166" fontId="0" fillId="0" borderId="1" xfId="0" applyNumberFormat="1" applyBorder="1"/>
    <xf numFmtId="0" fontId="0" fillId="0" borderId="2" xfId="0" applyBorder="1" applyAlignment="1">
      <alignment horizontal="right"/>
    </xf>
    <xf numFmtId="1" fontId="0" fillId="0" borderId="2" xfId="0" applyNumberFormat="1" applyBorder="1"/>
    <xf numFmtId="0" fontId="0" fillId="0" borderId="3" xfId="0" applyBorder="1"/>
    <xf numFmtId="172" fontId="0" fillId="0" borderId="3" xfId="0" applyNumberFormat="1" applyBorder="1"/>
    <xf numFmtId="8" fontId="0" fillId="0" borderId="0" xfId="1" applyNumberFormat="1" applyFont="1"/>
    <xf numFmtId="44" fontId="1" fillId="2" borderId="0" xfId="1" applyFont="1" applyFill="1"/>
    <xf numFmtId="44" fontId="0" fillId="2" borderId="0" xfId="1" applyFont="1" applyFill="1"/>
    <xf numFmtId="175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457200</xdr:colOff>
      <xdr:row>30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D21C9B-7891-6017-AFF6-8A4F351EE259}"/>
            </a:ext>
          </a:extLst>
        </xdr:cNvPr>
        <xdr:cNvSpPr txBox="1"/>
      </xdr:nvSpPr>
      <xdr:spPr>
        <a:xfrm>
          <a:off x="0" y="5000625"/>
          <a:ext cx="8382000" cy="207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This initial market sizing analysis is predicated on the premise that we can derive a reasonably accurate estimate of market share by cross-referencing the population of students who choose to reside in both on-campus and off-campus housing within the United States, in conjunction with the proportion of students actively engaging on a platform akin to RateMyProfessor.</a:t>
          </a:r>
          <a:endParaRPr lang="en-US" sz="12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Given that the platform is operational and accessible to students in its inaugural year, we anticipate being able to capture 10% of the student population in California. Subsequently, we project steady, linear growth in our user base, aiming to secure a commanding 50% market share by the fifth year. It's worth noting that competition in this space is currently limited due to the novelty of our concept.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47625</xdr:rowOff>
    </xdr:from>
    <xdr:to>
      <xdr:col>10</xdr:col>
      <xdr:colOff>514350</xdr:colOff>
      <xdr:row>68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A410EA-2E37-BD0E-3B54-23F38D3794FC}"/>
            </a:ext>
            <a:ext uri="{147F2762-F138-4A5C-976F-8EAC2B608ADB}">
              <a16:predDERef xmlns:a16="http://schemas.microsoft.com/office/drawing/2014/main" pred="{79D21C9B-7891-6017-AFF6-8A4F351EE259}"/>
            </a:ext>
          </a:extLst>
        </xdr:cNvPr>
        <xdr:cNvSpPr txBox="1"/>
      </xdr:nvSpPr>
      <xdr:spPr>
        <a:xfrm>
          <a:off x="28575" y="8448675"/>
          <a:ext cx="8724900" cy="533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Advertising Revenue: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Revenue from advertising can come from various sources, including display ads and sponsored listings.</a:t>
          </a: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(Assuming that we generate $50</a:t>
          </a:r>
          <a:r>
            <a:rPr lang="en-US"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0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,000 annually from advertising, based on impressions and clicks) 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Premium Subscriptions: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Users can subscribe to premium features on our platform for an enhanced experience.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Offer two tiers of premium subscriptions: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Basic Premium: $5 per month </a:t>
          </a: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Premium Plus: $10 per month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(Assuming that 10% of our registered users subscribe to premium services</a:t>
          </a:r>
          <a:r>
            <a:rPr lang="en-US"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and 70% opt for basic premium and 30% opt for premium plus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)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Alliances with Real Estate Firms: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Forge partnerships with local real estate firms, who pay a fee to access your platform's user base and promote their listings.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Charge real estate firms an annual partnership fee of $5,000 each.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Assume that we form alliances with </a:t>
          </a:r>
          <a:r>
            <a:rPr lang="en-US"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real estate firms in the first year and have a 15% growth for the first 5 years. 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ousing.usc.edu/index.php/sample-cost/" TargetMode="External"/><Relationship Id="rId3" Type="http://schemas.openxmlformats.org/officeDocument/2006/relationships/hyperlink" Target="https://bard.google.com/?utm_source=sem&amp;utm_medium=paid-media&amp;utm_campaign=q3enUS_sem7" TargetMode="External"/><Relationship Id="rId7" Type="http://schemas.openxmlformats.org/officeDocument/2006/relationships/hyperlink" Target="https://www.google.com/url?sa=t&amp;rct=j&amp;q=&amp;esrc=s&amp;source=web&amp;cd=&amp;cad=rja&amp;uact=8&amp;ved=2ahUKEwje86neo7-BAxVGH0QIHXRiCm8QFnoECA0QAw&amp;url=https%3A%2F%2Fwww.usnews.com%2Fbest-colleges%2Funiversity-of-southern-california-1328%2Fstudent-life%23%3A~%3Atext%3DUniversity%2520of%2520Southern%2520California%2520has%2Cof%2520students%2520live%2520off%2520campus.&amp;usg=AOvVaw3so-BIlLx_kML_MwHBDFRI&amp;opi=89978449" TargetMode="External"/><Relationship Id="rId2" Type="http://schemas.openxmlformats.org/officeDocument/2006/relationships/hyperlink" Target="https://calculator.aws/#/addService" TargetMode="External"/><Relationship Id="rId1" Type="http://schemas.openxmlformats.org/officeDocument/2006/relationships/hyperlink" Target="https://firebase.google.com/pricing" TargetMode="External"/><Relationship Id="rId6" Type="http://schemas.openxmlformats.org/officeDocument/2006/relationships/hyperlink" Target="https://www.google.com/url?sa=t&amp;rct=j&amp;q=&amp;esrc=s&amp;source=web&amp;cd=&amp;cad=rja&amp;uact=8&amp;ved=2ahUKEwje86neo7-BAxVGH0QIHXRiCm8QFnoECA0QAw&amp;url=https%3A%2F%2Fwww.usnews.com%2Fbest-colleges%2Funiversity-of-southern-california-1328%2Fstudent-life%23%3A~%3Atext%3DUniversity%2520of%2520Southern%2520California%2520has%2Cof%2520students%2520live%2520off%2520campus.&amp;usg=AOvVaw3so-BIlLx_kML_MwHBDFRI&amp;opi=89978449" TargetMode="External"/><Relationship Id="rId5" Type="http://schemas.openxmlformats.org/officeDocument/2006/relationships/hyperlink" Target="https://www.google.com/url?sa=t&amp;rct=j&amp;q=&amp;esrc=s&amp;source=web&amp;cd=&amp;cad=rja&amp;uact=8&amp;ved=2ahUKEwjpqJSCo7-BAxWWLUQIHRPgCG0QFnoECBYQAw&amp;url=https%3A%2F%2Fwww.linkedin.com%2Fpulse%2Fstudent-housing-market-size-2030-consumer-goods-insights%23%3A~%3Atext%3DThe%2520global%2520Student%2520Housing%2520market%2520size%2520was%2520valued%2520at%2520USD%2CUSD%252014700.0%2520million%2520by%25202027.&amp;usg=AOvVaw1qleiRTvpBOUFWyAVKIE2R&amp;opi=89978449" TargetMode="External"/><Relationship Id="rId4" Type="http://schemas.openxmlformats.org/officeDocument/2006/relationships/hyperlink" Target="https://www.subscriptionflow.com/2022/12/saas-startups-what-is-a-good-demo-conversion-rate/#:~:text=SaaS%20companies%20often%20focus%20on,at%20around%2015%25%2D20%25.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ducationdata.org/college-enrollment-statistics" TargetMode="External"/><Relationship Id="rId2" Type="http://schemas.openxmlformats.org/officeDocument/2006/relationships/hyperlink" Target="https://www.casita.com/blog/student-housing-statistics-a-case-study" TargetMode="External"/><Relationship Id="rId1" Type="http://schemas.openxmlformats.org/officeDocument/2006/relationships/hyperlink" Target="https://educationdata.org/college-enrollment-statistics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insidehighered.com/advice/2019/10/10/tongue-cheek-announcement-new-portal-where-faculty-members-can-rate-their-stud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89BE-BD7B-494C-9FE3-67520128C768}">
  <dimension ref="A2:H43"/>
  <sheetViews>
    <sheetView topLeftCell="B7" workbookViewId="0">
      <selection activeCell="E26" sqref="E26"/>
    </sheetView>
  </sheetViews>
  <sheetFormatPr defaultColWidth="11" defaultRowHeight="15.95"/>
  <cols>
    <col min="1" max="1" width="33.125" style="5" customWidth="1"/>
    <col min="2" max="2" width="74.125" style="5" customWidth="1"/>
    <col min="3" max="3" width="34.875" style="5" customWidth="1"/>
    <col min="4" max="4" width="23.875" style="5" customWidth="1"/>
    <col min="5" max="5" width="20.625" style="5" customWidth="1"/>
    <col min="6" max="6" width="23" style="5" customWidth="1"/>
    <col min="7" max="7" width="28" style="5" customWidth="1"/>
    <col min="8" max="8" width="29.875" style="5" customWidth="1"/>
    <col min="9" max="16384" width="11" style="5"/>
  </cols>
  <sheetData>
    <row r="2" spans="1:8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>
      <c r="A3" s="5" t="s">
        <v>8</v>
      </c>
      <c r="B3" s="5" t="s">
        <v>9</v>
      </c>
      <c r="C3" s="5">
        <v>100000</v>
      </c>
    </row>
    <row r="4" spans="1:8">
      <c r="A4" s="6" t="s">
        <v>10</v>
      </c>
    </row>
    <row r="5" spans="1:8">
      <c r="A5" s="5" t="s">
        <v>11</v>
      </c>
      <c r="B5" s="5" t="s">
        <v>12</v>
      </c>
      <c r="D5" s="5">
        <f>$B$42*D10</f>
        <v>300000</v>
      </c>
      <c r="E5" s="5">
        <f>$B$42*E10</f>
        <v>360000</v>
      </c>
      <c r="F5" s="5">
        <f>$B$42*F10</f>
        <v>420000</v>
      </c>
      <c r="G5" s="5">
        <f>$B$42*G10</f>
        <v>480000</v>
      </c>
      <c r="H5" s="5">
        <f>$B$42*H10</f>
        <v>540000</v>
      </c>
    </row>
    <row r="6" spans="1:8">
      <c r="A6" s="5" t="s">
        <v>13</v>
      </c>
      <c r="B6" s="5" t="s">
        <v>14</v>
      </c>
      <c r="D6" s="5">
        <f>$B$29</f>
        <v>720</v>
      </c>
      <c r="E6" s="5">
        <f>$B$29</f>
        <v>720</v>
      </c>
      <c r="F6" s="5">
        <f>$B$29</f>
        <v>720</v>
      </c>
      <c r="G6" s="5">
        <f>$B$29</f>
        <v>720</v>
      </c>
      <c r="H6" s="5">
        <f>$B$29</f>
        <v>720</v>
      </c>
    </row>
    <row r="7" spans="1:8">
      <c r="A7" s="5" t="s">
        <v>15</v>
      </c>
      <c r="B7" s="5" t="s">
        <v>16</v>
      </c>
      <c r="D7" s="5">
        <f>$B$30</f>
        <v>540</v>
      </c>
      <c r="E7" s="5">
        <f>$B$30</f>
        <v>540</v>
      </c>
      <c r="F7" s="5">
        <f>$B$30</f>
        <v>540</v>
      </c>
      <c r="G7" s="5">
        <f>$B$30</f>
        <v>540</v>
      </c>
      <c r="H7" s="5">
        <f>$B$30</f>
        <v>540</v>
      </c>
    </row>
    <row r="8" spans="1:8">
      <c r="A8" s="5" t="s">
        <v>17</v>
      </c>
      <c r="B8" s="5" t="s">
        <v>18</v>
      </c>
      <c r="D8" s="5">
        <f>$B$31*$B$32*D9</f>
        <v>662.90400000000011</v>
      </c>
      <c r="E8" s="5">
        <f>$B$31*$B$32*E9</f>
        <v>742.45248000000026</v>
      </c>
      <c r="F8" s="5">
        <f>$B$31*$B$32*F9</f>
        <v>831.54677760000027</v>
      </c>
      <c r="G8" s="5">
        <f>$B$31*$B$32*G9</f>
        <v>931.33239091200039</v>
      </c>
      <c r="H8" s="5">
        <f>$B$31*$B$32*H9</f>
        <v>1043.0922778214406</v>
      </c>
    </row>
    <row r="9" spans="1:8">
      <c r="A9" s="5" t="s">
        <v>19</v>
      </c>
      <c r="B9" s="5" t="s">
        <v>20</v>
      </c>
      <c r="D9" s="7">
        <f>$B$36*$B$35</f>
        <v>15840</v>
      </c>
      <c r="E9" s="7">
        <f>D9*1.12</f>
        <v>17740.800000000003</v>
      </c>
      <c r="F9" s="7">
        <f>E9*1.12</f>
        <v>19869.696000000004</v>
      </c>
      <c r="G9" s="7">
        <f>F9*1.12</f>
        <v>22254.059520000006</v>
      </c>
      <c r="H9" s="7">
        <f>G9*1.12</f>
        <v>24924.546662400011</v>
      </c>
    </row>
    <row r="10" spans="1:8">
      <c r="A10" s="5" t="s">
        <v>21</v>
      </c>
      <c r="B10" s="5" t="s">
        <v>22</v>
      </c>
      <c r="D10" s="7">
        <v>5</v>
      </c>
      <c r="E10" s="7">
        <f>ROUNDUP(D10*1.12, 0)</f>
        <v>6</v>
      </c>
      <c r="F10" s="7">
        <f t="shared" ref="F10:H10" si="0">ROUNDUP(E10*1.12, 0)</f>
        <v>7</v>
      </c>
      <c r="G10" s="7">
        <f t="shared" si="0"/>
        <v>8</v>
      </c>
      <c r="H10" s="7">
        <f t="shared" si="0"/>
        <v>9</v>
      </c>
    </row>
    <row r="12" spans="1:8">
      <c r="A12" s="5" t="s">
        <v>23</v>
      </c>
    </row>
    <row r="13" spans="1:8">
      <c r="A13" s="5" t="s">
        <v>24</v>
      </c>
    </row>
    <row r="14" spans="1:8">
      <c r="A14" s="5" t="s">
        <v>25</v>
      </c>
      <c r="C14" s="5">
        <f>SUM(C3:C13)</f>
        <v>100000</v>
      </c>
      <c r="D14" s="5">
        <f>SUM(D5:D10)</f>
        <v>317767.90399999998</v>
      </c>
      <c r="E14" s="5">
        <f t="shared" ref="E14:H14" si="1">SUM(E5:E10)</f>
        <v>379749.25247999997</v>
      </c>
      <c r="F14" s="5">
        <f t="shared" si="1"/>
        <v>441968.24277760001</v>
      </c>
      <c r="G14" s="5">
        <f t="shared" si="1"/>
        <v>504453.391910912</v>
      </c>
      <c r="H14" s="5">
        <f t="shared" si="1"/>
        <v>567236.6389402214</v>
      </c>
    </row>
    <row r="15" spans="1:8">
      <c r="A15" s="6" t="s">
        <v>26</v>
      </c>
    </row>
    <row r="16" spans="1:8">
      <c r="A16" s="5" t="s">
        <v>27</v>
      </c>
      <c r="C16" s="5">
        <v>0</v>
      </c>
      <c r="D16" s="19">
        <f>'Revenue Model '!C3</f>
        <v>500000</v>
      </c>
      <c r="E16" s="19">
        <f>'Revenue Model '!C4</f>
        <v>550000</v>
      </c>
      <c r="F16" s="19">
        <f>'Revenue Model '!C5</f>
        <v>605000</v>
      </c>
      <c r="G16" s="19">
        <f>'Revenue Model '!C6</f>
        <v>665500</v>
      </c>
      <c r="H16" s="19">
        <f>'Revenue Model '!C7</f>
        <v>732050</v>
      </c>
    </row>
    <row r="17" spans="1:8" ht="15.75">
      <c r="A17" s="5" t="s">
        <v>28</v>
      </c>
      <c r="C17" s="5" t="s">
        <v>29</v>
      </c>
      <c r="D17" s="22">
        <v>167700</v>
      </c>
      <c r="E17" s="22">
        <v>184470</v>
      </c>
      <c r="F17" s="22">
        <v>202917</v>
      </c>
      <c r="G17" s="22">
        <v>223208.7</v>
      </c>
      <c r="H17" s="22">
        <v>245529.57000000004</v>
      </c>
    </row>
    <row r="18" spans="1:8">
      <c r="A18" s="5" t="s">
        <v>30</v>
      </c>
      <c r="C18" s="5" t="s">
        <v>29</v>
      </c>
      <c r="D18" s="22">
        <v>100000</v>
      </c>
      <c r="E18" s="22">
        <v>110000</v>
      </c>
      <c r="F18" s="22">
        <v>121000</v>
      </c>
      <c r="G18" s="22">
        <v>133100</v>
      </c>
      <c r="H18" s="22">
        <v>146410.00000000003</v>
      </c>
    </row>
    <row r="20" spans="1:8" ht="15.75">
      <c r="A20" s="6" t="s">
        <v>31</v>
      </c>
      <c r="C20" s="5">
        <f>SUM(C16:C19)</f>
        <v>0</v>
      </c>
      <c r="D20" s="5">
        <f>SUM(D16:D19)</f>
        <v>767700</v>
      </c>
      <c r="E20" s="5">
        <f>SUM(E16:E19)</f>
        <v>844470</v>
      </c>
      <c r="F20" s="5">
        <f>SUM(F16:F19)</f>
        <v>928917</v>
      </c>
      <c r="G20" s="5">
        <f>SUM(G16:G19)</f>
        <v>1021808.7</v>
      </c>
      <c r="H20" s="5">
        <f>SUM(H16:H19)</f>
        <v>1123989.57</v>
      </c>
    </row>
    <row r="21" spans="1:8">
      <c r="A21" s="6" t="s">
        <v>32</v>
      </c>
      <c r="B21" s="5" t="s">
        <v>33</v>
      </c>
      <c r="C21" s="5">
        <f>C16-C14</f>
        <v>-100000</v>
      </c>
      <c r="D21" s="5">
        <f>D20-D14</f>
        <v>449932.09600000002</v>
      </c>
      <c r="E21" s="5">
        <f>E20-E14</f>
        <v>464720.74752000003</v>
      </c>
      <c r="F21" s="5">
        <f>F20-F14</f>
        <v>486948.75722239999</v>
      </c>
      <c r="G21" s="5">
        <f>G20-G14</f>
        <v>517355.30808908795</v>
      </c>
      <c r="H21" s="5">
        <f>H20-H14</f>
        <v>556752.93105977867</v>
      </c>
    </row>
    <row r="23" spans="1:8">
      <c r="A23" s="5" t="s">
        <v>34</v>
      </c>
      <c r="B23" s="5">
        <v>0.1</v>
      </c>
      <c r="C23" s="5" t="s">
        <v>35</v>
      </c>
    </row>
    <row r="24" spans="1:8">
      <c r="A24" s="20" t="s">
        <v>36</v>
      </c>
      <c r="B24" s="21">
        <f>NPV(B23, C21:H21)</f>
        <v>1598189.2031375712</v>
      </c>
    </row>
    <row r="25" spans="1:8" ht="15.75">
      <c r="A25" s="6" t="s">
        <v>37</v>
      </c>
      <c r="B25" s="6" t="s">
        <v>38</v>
      </c>
      <c r="C25" s="6" t="s">
        <v>39</v>
      </c>
    </row>
    <row r="29" spans="1:8" ht="15.75">
      <c r="A29" s="5" t="s">
        <v>40</v>
      </c>
      <c r="B29" s="5">
        <f>60*12</f>
        <v>720</v>
      </c>
      <c r="C29" s="8" t="s">
        <v>41</v>
      </c>
    </row>
    <row r="30" spans="1:8" ht="15.75">
      <c r="A30" s="5" t="s">
        <v>42</v>
      </c>
      <c r="B30" s="5">
        <f>45*12</f>
        <v>540</v>
      </c>
      <c r="C30" s="8" t="s">
        <v>43</v>
      </c>
    </row>
    <row r="31" spans="1:8" ht="15.75">
      <c r="A31" s="5" t="s">
        <v>44</v>
      </c>
      <c r="B31" s="5">
        <v>0.27900000000000003</v>
      </c>
      <c r="C31" s="8" t="s">
        <v>45</v>
      </c>
    </row>
    <row r="32" spans="1:8" ht="15.75">
      <c r="A32" s="5" t="s">
        <v>46</v>
      </c>
      <c r="B32" s="5">
        <v>0.15</v>
      </c>
      <c r="C32" s="8" t="s">
        <v>47</v>
      </c>
    </row>
    <row r="33" spans="1:3" ht="15.75">
      <c r="A33" s="5" t="s">
        <v>48</v>
      </c>
      <c r="B33" s="5">
        <v>11000000000</v>
      </c>
      <c r="C33" s="8" t="s">
        <v>49</v>
      </c>
    </row>
    <row r="34" spans="1:3" ht="15.75">
      <c r="A34" s="5" t="s">
        <v>50</v>
      </c>
      <c r="B34" s="5">
        <f>B35*B36*B37</f>
        <v>237600000</v>
      </c>
      <c r="C34" s="8" t="s">
        <v>51</v>
      </c>
    </row>
    <row r="35" spans="1:3" ht="15.75">
      <c r="A35" s="5" t="s">
        <v>52</v>
      </c>
      <c r="B35" s="5">
        <v>0.36</v>
      </c>
      <c r="C35" s="8" t="s">
        <v>51</v>
      </c>
    </row>
    <row r="36" spans="1:3" ht="15.75">
      <c r="A36" s="5" t="s">
        <v>53</v>
      </c>
      <c r="B36" s="5">
        <v>44000</v>
      </c>
      <c r="C36" s="9"/>
    </row>
    <row r="37" spans="1:3" ht="15.75">
      <c r="A37" s="5" t="s">
        <v>54</v>
      </c>
      <c r="B37" s="5">
        <v>15000</v>
      </c>
      <c r="C37" s="8" t="s">
        <v>55</v>
      </c>
    </row>
    <row r="38" spans="1:3">
      <c r="A38" s="5" t="s">
        <v>56</v>
      </c>
      <c r="B38" s="5">
        <f>B35*B36</f>
        <v>15840</v>
      </c>
    </row>
    <row r="39" spans="1:3">
      <c r="A39" s="5" t="s">
        <v>57</v>
      </c>
      <c r="B39" s="5">
        <v>0.15</v>
      </c>
    </row>
    <row r="40" spans="1:3">
      <c r="A40" s="5" t="s">
        <v>58</v>
      </c>
      <c r="B40" s="5">
        <f>1000*$B$35*$B$36</f>
        <v>15840000</v>
      </c>
      <c r="C40" s="5" t="s">
        <v>59</v>
      </c>
    </row>
    <row r="41" spans="1:3">
      <c r="A41" s="5" t="s">
        <v>60</v>
      </c>
      <c r="B41" s="5">
        <v>4</v>
      </c>
    </row>
    <row r="42" spans="1:3">
      <c r="A42" s="5" t="s">
        <v>61</v>
      </c>
      <c r="B42" s="5">
        <v>60000</v>
      </c>
    </row>
    <row r="43" spans="1:3">
      <c r="A43" s="5" t="s">
        <v>62</v>
      </c>
      <c r="B43" s="5">
        <v>7500</v>
      </c>
    </row>
  </sheetData>
  <phoneticPr fontId="2" type="noConversion"/>
  <hyperlinks>
    <hyperlink ref="C29" r:id="rId1" xr:uid="{CABBEAC9-7E3A-7A4B-BE07-ADF2CA402E5A}"/>
    <hyperlink ref="C30" r:id="rId2" xr:uid="{8E966A54-C93B-8846-A081-36020C0879FC}"/>
    <hyperlink ref="C31" r:id="rId3" xr:uid="{F6EFE6A9-EEAD-1B4C-A651-8D55B88993EA}"/>
    <hyperlink ref="C32" r:id="rId4" xr:uid="{C7EFEDC7-E953-234B-8883-FB7664C4E6EE}"/>
    <hyperlink ref="C33" r:id="rId5" display="https://www.google.com/url?sa=t&amp;rct=j&amp;q=&amp;esrc=s&amp;source=web&amp;cd=&amp;cad=rja&amp;uact=8&amp;ved=2ahUKEwjpqJSCo7-BAxWWLUQIHRPgCG0QFnoECBYQAw&amp;url=https%3A%2F%2Fwww.linkedin.com%2Fpulse%2Fstudent-housing-market-size-2030-consumer-goods-insights%23%3A~%3Atext%3DThe%2520global%2520Student%2520Housing%2520market%2520size%2520was%2520valued%2520at%2520USD%2CUSD%252014700.0%2520million%2520by%25202027.&amp;usg=AOvVaw1qleiRTvpBOUFWyAVKIE2R&amp;opi=89978449" xr:uid="{25F962A4-DCEC-8D46-85B9-34B67BA10A27}"/>
    <hyperlink ref="C35" r:id="rId6" display="https://www.google.com/url?sa=t&amp;rct=j&amp;q=&amp;esrc=s&amp;source=web&amp;cd=&amp;cad=rja&amp;uact=8&amp;ved=2ahUKEwje86neo7-BAxVGH0QIHXRiCm8QFnoECA0QAw&amp;url=https%3A%2F%2Fwww.usnews.com%2Fbest-colleges%2Funiversity-of-southern-california-1328%2Fstudent-life%23%3A~%3Atext%3DUniversity%2520of%2520Southern%2520California%2520has%2Cof%2520students%2520live%2520off%2520campus.&amp;usg=AOvVaw3so-BIlLx_kML_MwHBDFRI&amp;opi=89978449" xr:uid="{7C528ABB-5A3F-9046-861C-128F43A5574C}"/>
    <hyperlink ref="C34" r:id="rId7" display="https://www.google.com/url?sa=t&amp;rct=j&amp;q=&amp;esrc=s&amp;source=web&amp;cd=&amp;cad=rja&amp;uact=8&amp;ved=2ahUKEwje86neo7-BAxVGH0QIHXRiCm8QFnoECA0QAw&amp;url=https%3A%2F%2Fwww.usnews.com%2Fbest-colleges%2Funiversity-of-southern-california-1328%2Fstudent-life%23%3A~%3Atext%3DUniversity%2520of%2520Southern%2520California%2520has%2Cof%2520students%2520live%2520off%2520campus.&amp;usg=AOvVaw3so-BIlLx_kML_MwHBDFRI&amp;opi=89978449" xr:uid="{DF494024-EA96-814B-ABE6-EEAD2C0E77F8}"/>
    <hyperlink ref="C37" r:id="rId8" xr:uid="{87658551-A6DD-3743-9DB5-DB69BF93F6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F4B7-E959-4DBE-B4F8-F897AFDAF143}">
  <dimension ref="A1:I41"/>
  <sheetViews>
    <sheetView tabSelected="1" topLeftCell="A41" workbookViewId="0">
      <selection activeCell="I6" sqref="I6"/>
    </sheetView>
  </sheetViews>
  <sheetFormatPr defaultRowHeight="15.75"/>
  <cols>
    <col min="1" max="1" width="13.875" bestFit="1" customWidth="1"/>
    <col min="2" max="2" width="10.625" bestFit="1" customWidth="1"/>
    <col min="3" max="3" width="18.375" bestFit="1" customWidth="1"/>
    <col min="4" max="4" width="23.75" bestFit="1" customWidth="1"/>
    <col min="5" max="5" width="29.125" bestFit="1" customWidth="1"/>
    <col min="6" max="6" width="16.375" customWidth="1"/>
    <col min="7" max="7" width="9.125" bestFit="1" customWidth="1"/>
  </cols>
  <sheetData>
    <row r="1" spans="1:9">
      <c r="A1" t="s">
        <v>63</v>
      </c>
    </row>
    <row r="2" spans="1:9">
      <c r="A2" s="12" t="s">
        <v>64</v>
      </c>
      <c r="B2" s="15" t="s">
        <v>65</v>
      </c>
      <c r="C2" s="12" t="s">
        <v>66</v>
      </c>
      <c r="D2" s="12" t="s">
        <v>67</v>
      </c>
      <c r="E2" s="12" t="s">
        <v>68</v>
      </c>
      <c r="F2" s="17" t="s">
        <v>69</v>
      </c>
    </row>
    <row r="3" spans="1:9">
      <c r="A3" s="12">
        <v>1</v>
      </c>
      <c r="B3" s="16">
        <f>G18</f>
        <v>258000</v>
      </c>
      <c r="C3" s="13">
        <f>E$34*B3</f>
        <v>500000</v>
      </c>
      <c r="D3" s="14">
        <f>E$35*B3</f>
        <v>167700</v>
      </c>
      <c r="E3" s="14">
        <f>E$38*B3</f>
        <v>100000</v>
      </c>
      <c r="F3" s="18">
        <f>E$41*B3</f>
        <v>767700</v>
      </c>
    </row>
    <row r="4" spans="1:9">
      <c r="A4" s="12">
        <v>2</v>
      </c>
      <c r="B4" s="16">
        <f>B3*(1+G$19)</f>
        <v>283800</v>
      </c>
      <c r="C4" s="13">
        <f t="shared" ref="C4:C8" si="0">E$34*B4</f>
        <v>550000</v>
      </c>
      <c r="D4" s="14">
        <f t="shared" ref="D4:D7" si="1">E$35*B4</f>
        <v>184470</v>
      </c>
      <c r="E4" s="14">
        <f t="shared" ref="E4:E7" si="2">E$38*B4</f>
        <v>110000</v>
      </c>
      <c r="F4" s="18">
        <f>E$41*B4</f>
        <v>844470</v>
      </c>
    </row>
    <row r="5" spans="1:9">
      <c r="A5" s="12">
        <v>3</v>
      </c>
      <c r="B5" s="16">
        <f>B4*(1+G$19)</f>
        <v>312180</v>
      </c>
      <c r="C5" s="13">
        <f t="shared" si="0"/>
        <v>605000</v>
      </c>
      <c r="D5" s="14">
        <f t="shared" si="1"/>
        <v>202917</v>
      </c>
      <c r="E5" s="14">
        <f t="shared" si="2"/>
        <v>121000</v>
      </c>
      <c r="F5" s="18">
        <f>E$41*B5</f>
        <v>928917</v>
      </c>
    </row>
    <row r="6" spans="1:9">
      <c r="A6" s="12">
        <v>4</v>
      </c>
      <c r="B6" s="16">
        <f>B5*(1+G$19)</f>
        <v>343398</v>
      </c>
      <c r="C6" s="13">
        <f t="shared" si="0"/>
        <v>665500</v>
      </c>
      <c r="D6" s="14">
        <f t="shared" si="1"/>
        <v>223208.7</v>
      </c>
      <c r="E6" s="14">
        <f t="shared" si="2"/>
        <v>133100</v>
      </c>
      <c r="F6" s="18">
        <f>E$41*B6</f>
        <v>1021808.7000000001</v>
      </c>
    </row>
    <row r="7" spans="1:9">
      <c r="A7" s="12">
        <v>5</v>
      </c>
      <c r="B7" s="16">
        <f>B6*(1+G$19)</f>
        <v>377737.80000000005</v>
      </c>
      <c r="C7" s="13">
        <f t="shared" si="0"/>
        <v>732050</v>
      </c>
      <c r="D7" s="14">
        <f t="shared" si="1"/>
        <v>245529.57000000004</v>
      </c>
      <c r="E7" s="14">
        <f t="shared" si="2"/>
        <v>146410.00000000003</v>
      </c>
      <c r="F7" s="18">
        <f>E$41*B7</f>
        <v>1123989.57</v>
      </c>
    </row>
    <row r="10" spans="1:9">
      <c r="A10" s="1" t="s">
        <v>70</v>
      </c>
    </row>
    <row r="11" spans="1:9">
      <c r="A11" t="s">
        <v>71</v>
      </c>
      <c r="G11">
        <v>20031000</v>
      </c>
      <c r="I11" s="4" t="s">
        <v>72</v>
      </c>
    </row>
    <row r="12" spans="1:9">
      <c r="A12" t="s">
        <v>73</v>
      </c>
      <c r="G12" s="2">
        <v>0.94</v>
      </c>
      <c r="I12" s="4" t="s">
        <v>74</v>
      </c>
    </row>
    <row r="13" spans="1:9">
      <c r="A13" t="s">
        <v>75</v>
      </c>
      <c r="G13">
        <f>G12*G11</f>
        <v>18829140</v>
      </c>
    </row>
    <row r="14" spans="1:9">
      <c r="A14" t="s">
        <v>76</v>
      </c>
      <c r="G14" s="2">
        <v>0.33</v>
      </c>
      <c r="I14" s="4" t="s">
        <v>77</v>
      </c>
    </row>
    <row r="15" spans="1:9">
      <c r="A15" t="s">
        <v>78</v>
      </c>
      <c r="G15">
        <f>G13*G14</f>
        <v>6213616.2000000002</v>
      </c>
    </row>
    <row r="17" spans="1:9">
      <c r="A17" t="s">
        <v>79</v>
      </c>
      <c r="G17">
        <v>2580000</v>
      </c>
      <c r="I17" s="4" t="s">
        <v>72</v>
      </c>
    </row>
    <row r="18" spans="1:9">
      <c r="A18" t="s">
        <v>80</v>
      </c>
      <c r="G18">
        <f>10%*G17</f>
        <v>258000</v>
      </c>
    </row>
    <row r="19" spans="1:9">
      <c r="A19" t="s">
        <v>81</v>
      </c>
      <c r="G19" s="2">
        <v>0.1</v>
      </c>
    </row>
    <row r="33" spans="1:5">
      <c r="A33" s="1" t="s">
        <v>82</v>
      </c>
    </row>
    <row r="34" spans="1:5">
      <c r="A34" t="s">
        <v>83</v>
      </c>
      <c r="E34" s="3">
        <f>500000/G18</f>
        <v>1.9379844961240309</v>
      </c>
    </row>
    <row r="35" spans="1:5">
      <c r="A35" t="s">
        <v>84</v>
      </c>
      <c r="E35" s="10">
        <f>(E36*E37*G18)/G18</f>
        <v>0.65</v>
      </c>
    </row>
    <row r="36" spans="1:5">
      <c r="A36" t="s">
        <v>85</v>
      </c>
      <c r="E36" s="10">
        <f>(70%*5)+(30%*10)</f>
        <v>6.5</v>
      </c>
    </row>
    <row r="37" spans="1:5">
      <c r="A37" t="s">
        <v>86</v>
      </c>
      <c r="E37" s="2">
        <v>0.1</v>
      </c>
    </row>
    <row r="38" spans="1:5">
      <c r="A38" t="s">
        <v>87</v>
      </c>
      <c r="E38" s="10">
        <f>(E39*E40)/G18</f>
        <v>0.38759689922480622</v>
      </c>
    </row>
    <row r="39" spans="1:5">
      <c r="A39" t="s">
        <v>88</v>
      </c>
      <c r="E39" s="10">
        <v>5000</v>
      </c>
    </row>
    <row r="40" spans="1:5">
      <c r="A40" t="s">
        <v>89</v>
      </c>
      <c r="E40">
        <v>20</v>
      </c>
    </row>
    <row r="41" spans="1:5">
      <c r="A41" t="s">
        <v>90</v>
      </c>
      <c r="E41" s="11">
        <f>(E34+E35+E38)</f>
        <v>2.9755813953488373</v>
      </c>
    </row>
  </sheetData>
  <hyperlinks>
    <hyperlink ref="I11" r:id="rId1" xr:uid="{2842E3BE-E498-4DD5-8460-72B3B44997E8}"/>
    <hyperlink ref="I12" r:id="rId2" xr:uid="{958B7C0A-5E1D-4B23-8CFB-6AF499E42E52}"/>
    <hyperlink ref="I17" r:id="rId3" xr:uid="{B882D2BA-9DF3-42A1-9EC2-CF22A6D05F58}"/>
    <hyperlink ref="I14" r:id="rId4" location=":~:text=Roughly%20one%2Dthird%20of%20the,and%20minds%20of%20our%20students" xr:uid="{1E9A8647-434E-4A33-9068-CB43DDE30257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Mihir Kavishwar</dc:creator>
  <cp:keywords/>
  <dc:description/>
  <cp:lastModifiedBy>Sami Andari</cp:lastModifiedBy>
  <cp:revision/>
  <dcterms:created xsi:type="dcterms:W3CDTF">2023-09-16T00:14:06Z</dcterms:created>
  <dcterms:modified xsi:type="dcterms:W3CDTF">2023-09-23T00:02:07Z</dcterms:modified>
  <cp:category/>
  <cp:contentStatus/>
</cp:coreProperties>
</file>